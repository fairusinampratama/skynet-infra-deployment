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B29645A-BB1E-4180-AC77-0A583613BC1B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aily ODP &amp; ODC" sheetId="4" r:id="rId1"/>
    <sheet name="Rekap ODP &amp; ODC" sheetId="5" r:id="rId2"/>
  </sheets>
  <definedNames>
    <definedName name="_xlnm.Print_Area" localSheetId="1">'Rekap ODP &amp; ODC'!$A$1:$F$52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5" l="1"/>
  <c r="B7" i="5"/>
  <c r="C7" i="5" s="1"/>
  <c r="D12" i="5"/>
  <c r="D8" i="5"/>
  <c r="E8" i="5" s="1"/>
  <c r="D7" i="5"/>
  <c r="E7" i="5" s="1"/>
  <c r="D6" i="5"/>
  <c r="E6" i="5" s="1"/>
  <c r="D5" i="5"/>
  <c r="E5" i="5" s="1"/>
  <c r="C8" i="5"/>
  <c r="B6" i="5"/>
  <c r="B5" i="5"/>
  <c r="C5" i="5" s="1"/>
  <c r="L7" i="4"/>
  <c r="L8" i="4"/>
  <c r="L9" i="4"/>
  <c r="L10" i="4"/>
  <c r="L11" i="4"/>
  <c r="L12" i="4"/>
  <c r="L13" i="4"/>
  <c r="L14" i="4"/>
  <c r="L15" i="4"/>
  <c r="L16" i="4"/>
  <c r="L17" i="4"/>
  <c r="L6" i="4"/>
  <c r="P6" i="4" s="1"/>
  <c r="K6" i="4"/>
  <c r="O6" i="4" s="1"/>
  <c r="E3" i="5"/>
  <c r="K17" i="4"/>
  <c r="O17" i="4" s="1"/>
  <c r="K16" i="4"/>
  <c r="O16" i="4" s="1"/>
  <c r="K15" i="4"/>
  <c r="O15" i="4" s="1"/>
  <c r="K14" i="4"/>
  <c r="O14" i="4" s="1"/>
  <c r="K13" i="4"/>
  <c r="O13" i="4" s="1"/>
  <c r="K12" i="4"/>
  <c r="O12" i="4" s="1"/>
  <c r="K11" i="4"/>
  <c r="O11" i="4" s="1"/>
  <c r="K10" i="4"/>
  <c r="O10" i="4" s="1"/>
  <c r="K9" i="4"/>
  <c r="O9" i="4" s="1"/>
  <c r="K8" i="4"/>
  <c r="O8" i="4" s="1"/>
  <c r="K7" i="4"/>
  <c r="O7" i="4" s="1"/>
  <c r="K5" i="4"/>
  <c r="O5" i="4" s="1"/>
  <c r="M5" i="4" l="1"/>
  <c r="M6" i="4" s="1"/>
  <c r="L5" i="4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D9" i="5"/>
  <c r="E9" i="5" s="1"/>
  <c r="B9" i="5"/>
  <c r="C9" i="5" s="1"/>
  <c r="C6" i="5"/>
  <c r="M7" i="4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B12" i="5" l="1"/>
  <c r="C12" i="5" s="1"/>
</calcChain>
</file>

<file path=xl/sharedStrings.xml><?xml version="1.0" encoding="utf-8"?>
<sst xmlns="http://schemas.openxmlformats.org/spreadsheetml/2006/main" count="37" uniqueCount="36">
  <si>
    <t>Hari</t>
  </si>
  <si>
    <t>Tanggal</t>
  </si>
  <si>
    <t>Tim 3
 (ODP)</t>
  </si>
  <si>
    <t>Tim 2
 (ODP)</t>
  </si>
  <si>
    <t>Tim 1
 (ODP)</t>
  </si>
  <si>
    <t>TIMELINE HARIAN PEMASANGAN ODP RANDUAGUNG (SKYNET)
Input Harian Hasil Pemasangan ODP</t>
  </si>
  <si>
    <t>TIM</t>
  </si>
  <si>
    <t>TOTAL ODP</t>
  </si>
  <si>
    <t xml:space="preserve"> </t>
  </si>
  <si>
    <t>TIM 1 : Ridwan(PIC)</t>
  </si>
  <si>
    <t>TIM 2 : Dappa(PIC)</t>
  </si>
  <si>
    <t>TIM 3 : TYO (PIC)</t>
  </si>
  <si>
    <t>TIM 4 : Baim(PIC)</t>
  </si>
  <si>
    <t>Keterangan</t>
  </si>
  <si>
    <t>Penarikan Kabel Saja(lanjut tgl 23/04/26 pemasangan ODP Tim 1)</t>
  </si>
  <si>
    <t>SISA HARI</t>
  </si>
  <si>
    <t>Pemasangan Tim 1:RW 1 Randuagung,Tim 2:Randutelu,Tim3 :Kunci, Tim 4:Yonkav</t>
  </si>
  <si>
    <t>Tim 1
 (ODC)</t>
  </si>
  <si>
    <t>Total Harian
(ODP)
Target : 365 BOX</t>
  </si>
  <si>
    <t>Total Harian
(ODC)
Target : 46 BOX</t>
  </si>
  <si>
    <t>Akumulasi
(ODP)</t>
  </si>
  <si>
    <t>Akumulasi
(ODC)</t>
  </si>
  <si>
    <t>Progress
ODP (%)</t>
  </si>
  <si>
    <t>Progress
ODC (%)</t>
  </si>
  <si>
    <t>Tim 2
 (ODC)</t>
  </si>
  <si>
    <t>Tim 3
 (ODC)</t>
  </si>
  <si>
    <t>Tim 4
 (ODP)</t>
  </si>
  <si>
    <t>Tim 4 
(ODC)</t>
  </si>
  <si>
    <t>% ODP(dari 365 Box)</t>
  </si>
  <si>
    <t>TOTAL ODC</t>
  </si>
  <si>
    <t>% ODC(dari 46 Box)</t>
  </si>
  <si>
    <t>REKAP TOTAL
(Pembangunan ODP &amp; ODC RA Skynet)</t>
  </si>
  <si>
    <t>TOTAL</t>
  </si>
  <si>
    <t>TARGET
(ODP+ODC)</t>
  </si>
  <si>
    <t>TOTAL 
ODP+ODC
(Terpasang)</t>
  </si>
  <si>
    <t>PROGRESS TOTAL
ODP+ODC
(Terpasang)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</si>
</sst>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11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Yu Gothic"/>
      <family val="2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10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6" fillId="0" borderId="0" xfId="0" applyFont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" fillId="2" borderId="0" xfId="1" applyFont="1" applyFill="1" applyAlignment="1">
      <alignment horizontal="center" vertical="center" wrapText="1"/>
    </xf>
    <xf numFmtId="9" fontId="0" fillId="0" borderId="0" xfId="1" applyFont="1"/>
    <xf numFmtId="9" fontId="0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164" fontId="8" fillId="0" borderId="0" xfId="0" applyNumberFormat="1" applyFont="1"/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5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ODC Terpasang</a:t>
            </a:r>
          </a:p>
        </c:rich>
      </c:tx>
      <c:layout>
        <c:manualLayout>
          <c:xMode val="edge"/>
          <c:yMode val="edge"/>
          <c:x val="2.565972335963634E-2"/>
          <c:y val="4.9269741282339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'Daily ODP &amp; ODC'!$N$4</c:f>
              <c:strCache>
                <c:ptCount val="1"/>
                <c:pt idx="0">
                  <c:v>Akumulasi
(ODC)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1130637219345822E-2"/>
                  <c:y val="-4.0171278590176211E-2"/>
                </c:manualLayout>
              </c:layout>
              <c:tx>
                <c:rich>
                  <a:bodyPr/>
                  <a:lstStyle/>
                  <a:p>
                    <a:fld id="{1FBA0071-FD43-47B2-B565-27E65AB03AAD}" type="YVALUE">
                      <a:rPr lang="en-US" sz="1200" b="0">
                        <a:solidFill>
                          <a:srgbClr val="00B0F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pPr/>
                      <a:t>[Y VALUE]</a:t>
                    </a:fld>
                    <a:endParaRPr lang="en-ID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888A-4B91-911F-DD60B0FCE3B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8A-4B91-911F-DD60B0FCE3B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8A-4B91-911F-DD60B0FCE3B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8A-4B91-911F-DD60B0FCE3B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8A-4B91-911F-DD60B0FCE3B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8A-4B91-911F-DD60B0FCE3B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8A-4B91-911F-DD60B0FCE3B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8A-4B91-911F-DD60B0FCE3B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8A-4B91-911F-DD60B0FCE3B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8A-4B91-911F-DD60B0FCE3B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8A-4B91-911F-DD60B0FCE3B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8A-4B91-911F-DD60B0FCE3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'Daily ODP &amp; ODC'!$A$5:$A$17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'Daily ODP &amp; ODC'!$N$5:$N$17</c:f>
              <c:numCache>
                <c:formatCode>General</c:formatCode>
                <c:ptCount val="13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8A-4B91-911F-DD60B0FCE3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97971231"/>
        <c:axId val="397967903"/>
      </c:scatterChart>
      <c:valAx>
        <c:axId val="39797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5">
                        <a:lumMod val="75000"/>
                      </a:schemeClr>
                    </a:solidFill>
                  </a:rPr>
                  <a:t>Hari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67903"/>
        <c:crosses val="autoZero"/>
        <c:crossBetween val="midCat"/>
      </c:valAx>
      <c:valAx>
        <c:axId val="39796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7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ODP Terpasang</a:t>
            </a:r>
          </a:p>
        </c:rich>
      </c:tx>
      <c:layout>
        <c:manualLayout>
          <c:xMode val="edge"/>
          <c:yMode val="edge"/>
          <c:x val="4.8874131835223565E-2"/>
          <c:y val="3.4831206444022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'Daily ODP &amp; ODC'!$M$4</c:f>
              <c:strCache>
                <c:ptCount val="1"/>
                <c:pt idx="0">
                  <c:v>Akumulasi
(ODP)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6840084523555701E-2"/>
                  <c:y val="-3.7480918333484194E-2"/>
                </c:manualLayout>
              </c:layout>
              <c:tx>
                <c:rich>
                  <a:bodyPr/>
                  <a:lstStyle/>
                  <a:p>
                    <a:fld id="{3BC5E75A-1F0C-4D11-A0E1-4097145F177F}" type="YVALUE">
                      <a:rPr lang="en-US" sz="1200" b="1">
                        <a:solidFill>
                          <a:schemeClr val="accent5">
                            <a:lumMod val="75000"/>
                          </a:schemeClr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pPr/>
                      <a:t>[Y VALUE]</a:t>
                    </a:fld>
                    <a:endParaRPr lang="en-ID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9CB7-4D6D-A7B2-1C22C24A4D5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B7-4D6D-A7B2-1C22C24A4D5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B7-4D6D-A7B2-1C22C24A4D5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B7-4D6D-A7B2-1C22C24A4D5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B7-4D6D-A7B2-1C22C24A4D5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B7-4D6D-A7B2-1C22C24A4D5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B7-4D6D-A7B2-1C22C24A4D5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B7-4D6D-A7B2-1C22C24A4D5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B7-4D6D-A7B2-1C22C24A4D5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B7-4D6D-A7B2-1C22C24A4D5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B7-4D6D-A7B2-1C22C24A4D5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B7-4D6D-A7B2-1C22C24A4D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'Daily ODP &amp; ODC'!$A$5:$A$17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'Daily ODP &amp; ODC'!$M$5:$M$17</c:f>
              <c:numCache>
                <c:formatCode>General</c:formatCode>
                <c:ptCount val="13"/>
                <c:pt idx="0">
                  <c:v>0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7-4D6D-A7B2-1C22C24A4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979119"/>
        <c:axId val="517976623"/>
      </c:scatterChart>
      <c:valAx>
        <c:axId val="51797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5">
                        <a:lumMod val="75000"/>
                      </a:schemeClr>
                    </a:solidFill>
                  </a:rPr>
                  <a:t>Hari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76623"/>
        <c:crosses val="autoZero"/>
        <c:crossBetween val="midCat"/>
      </c:valAx>
      <c:valAx>
        <c:axId val="51797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7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ODP</a:t>
            </a:r>
            <a:r>
              <a:rPr lang="en-US" baseline="0"/>
              <a:t> Build Progress Performa</a:t>
            </a:r>
          </a:p>
          <a:p>
            <a:pPr>
              <a:defRPr/>
            </a:pPr>
            <a:r>
              <a:rPr lang="en-US" baseline="0"/>
              <a:t> (by Team)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20-40AF-9266-9736A63DEB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20-40AF-9266-9736A63DEB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20-40AF-9266-9736A63DEB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20-40AF-9266-9736A63DEBA9}"/>
              </c:ext>
            </c:extLst>
          </c:dPt>
          <c:dLbls>
            <c:dLbl>
              <c:idx val="0"/>
              <c:layout>
                <c:manualLayout>
                  <c:x val="-0.13444484577042548"/>
                  <c:y val="0.15609645881643427"/>
                </c:manualLayout>
              </c:layout>
              <c:tx>
                <c:rich>
                  <a:bodyPr/>
                  <a:lstStyle/>
                  <a:p>
                    <a:fld id="{D47A8A85-DE2C-4A38-B0C7-26D8075D3930}" type="CATEGORYNAME">
                      <a:rPr lang="en-US" sz="110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02692564-1B14-4006-8026-A4B77E572B8C}" type="PERCENTAGE">
                      <a:rPr lang="en-US" sz="1100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sz="1100" baseline="0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120-40AF-9266-9736A63DEBA9}"/>
                </c:ext>
              </c:extLst>
            </c:dLbl>
            <c:dLbl>
              <c:idx val="1"/>
              <c:layout>
                <c:manualLayout>
                  <c:x val="-9.600664595824604E-2"/>
                  <c:y val="-0.12093706733260293"/>
                </c:manualLayout>
              </c:layout>
              <c:tx>
                <c:rich>
                  <a:bodyPr/>
                  <a:lstStyle/>
                  <a:p>
                    <a:fld id="{AAB5679C-CFDC-4812-A69E-6B416BA5F509}" type="CATEGORYNAME">
                      <a:rPr lang="en-US" sz="110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D0F6310C-10FE-4B41-8E49-037E2D58B475}" type="PERCENTAGE">
                      <a:rPr lang="en-US" sz="1100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sz="1100" baseline="0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120-40AF-9266-9736A63DEBA9}"/>
                </c:ext>
              </c:extLst>
            </c:dLbl>
            <c:dLbl>
              <c:idx val="2"/>
              <c:layout>
                <c:manualLayout>
                  <c:x val="0.15099713453249536"/>
                  <c:y val="-4.4661213464821832E-2"/>
                </c:manualLayout>
              </c:layout>
              <c:tx>
                <c:rich>
                  <a:bodyPr/>
                  <a:lstStyle/>
                  <a:p>
                    <a:fld id="{1D4570F0-7E49-4D97-A2A7-0A407527477A}" type="CATEGORYNAME">
                      <a:rPr lang="en-US" sz="110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92FD672E-CB5D-497E-9A8F-5B0F543D1DAB}" type="PERCENTAGE">
                      <a:rPr lang="en-US" sz="1100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sz="1100" baseline="0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120-40AF-9266-9736A63DE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6550D5C-C6A2-4AC8-BEE3-1E754A8B9F56}" type="CATEGORYNAME">
                      <a:rPr lang="en-US" sz="110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95A3EBB8-A137-482A-904E-7DED22EE7561}" type="PERCENTAGE">
                      <a:rPr lang="en-US" sz="1100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sz="1100" baseline="0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120-40AF-9266-9736A63DEB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('Daily ODP &amp; ODC'!$C$4,'Daily ODP &amp; ODC'!$E$4,'Daily ODP &amp; ODC'!$G$4,'Daily ODP &amp; ODC'!$I$4)</c:f>
              <c:strCache>
                <c:ptCount val="4"/>
                <c:pt idx="0">
                  <c:v>Tim 1
 (ODP)</c:v>
                </c:pt>
                <c:pt idx="1">
                  <c:v>Tim 2
 (ODP)</c:v>
                </c:pt>
                <c:pt idx="2">
                  <c:v>Tim 3
 (ODP)</c:v>
                </c:pt>
                <c:pt idx="3">
                  <c:v>Tim 4
 (ODP)</c:v>
                </c:pt>
              </c:strCache>
            </c:strRef>
          </c:cat>
          <c:val>
            <c:numRef>
              <c:f>('Daily ODP &amp; ODC'!$C$6,'Daily ODP &amp; ODC'!$E$6,'Daily ODP &amp; ODC'!$G$6,'Daily ODP &amp; ODC'!$I$6)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20-40AF-9266-9736A63DEB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10</xdr:row>
      <xdr:rowOff>19050</xdr:rowOff>
    </xdr:from>
    <xdr:to>
      <xdr:col>1</xdr:col>
      <xdr:colOff>1781175</xdr:colOff>
      <xdr:row>12</xdr:row>
      <xdr:rowOff>28575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438275" y="3400425"/>
          <a:ext cx="1524000" cy="1343025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19050</xdr:colOff>
      <xdr:row>14</xdr:row>
      <xdr:rowOff>28575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8582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9525</xdr:colOff>
      <xdr:row>10</xdr:row>
      <xdr:rowOff>38099</xdr:rowOff>
    </xdr:from>
    <xdr:to>
      <xdr:col>1</xdr:col>
      <xdr:colOff>57150</xdr:colOff>
      <xdr:row>12</xdr:row>
      <xdr:rowOff>28574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525" y="3419474"/>
          <a:ext cx="1228725" cy="1323975"/>
        </a:xfrm>
        <a:prstGeom prst="round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409575</xdr:colOff>
      <xdr:row>9</xdr:row>
      <xdr:rowOff>180974</xdr:rowOff>
    </xdr:from>
    <xdr:to>
      <xdr:col>2</xdr:col>
      <xdr:colOff>2371725</xdr:colOff>
      <xdr:row>12</xdr:row>
      <xdr:rowOff>19049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743325" y="3405867"/>
          <a:ext cx="1962150" cy="1362075"/>
        </a:xfrm>
        <a:prstGeom prst="round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723900</xdr:colOff>
      <xdr:row>9</xdr:row>
      <xdr:rowOff>133350</xdr:rowOff>
    </xdr:from>
    <xdr:to>
      <xdr:col>3</xdr:col>
      <xdr:colOff>2209800</xdr:colOff>
      <xdr:row>12</xdr:row>
      <xdr:rowOff>28575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972300" y="3324225"/>
          <a:ext cx="1485900" cy="1419225"/>
        </a:xfrm>
        <a:prstGeom prst="roundRect">
          <a:avLst/>
        </a:prstGeom>
        <a:solidFill>
          <a:srgbClr val="7030A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1552574</xdr:colOff>
      <xdr:row>13</xdr:row>
      <xdr:rowOff>38100</xdr:rowOff>
    </xdr:from>
    <xdr:to>
      <xdr:col>4</xdr:col>
      <xdr:colOff>435429</xdr:colOff>
      <xdr:row>29</xdr:row>
      <xdr:rowOff>81643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13</xdr:row>
      <xdr:rowOff>47625</xdr:rowOff>
    </xdr:from>
    <xdr:to>
      <xdr:col>2</xdr:col>
      <xdr:colOff>1047750</xdr:colOff>
      <xdr:row>29</xdr:row>
      <xdr:rowOff>81643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65768</xdr:colOff>
      <xdr:row>29</xdr:row>
      <xdr:rowOff>169182</xdr:rowOff>
    </xdr:from>
    <xdr:to>
      <xdr:col>2</xdr:col>
      <xdr:colOff>894443</xdr:colOff>
      <xdr:row>45</xdr:row>
      <xdr:rowOff>64407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2" displayName="Table22" ref="A4:E9" totalsRowShown="0" headerRowDxfId="14">
  <tableColumns count="5">
    <tableColumn id="1" xr3:uid="{00000000-0010-0000-0000-000001000000}" name="TIM" dataDxfId="13"/>
    <tableColumn id="2" xr3:uid="{00000000-0010-0000-0000-000002000000}" name="TOTAL ODP" dataDxfId="12"/>
    <tableColumn id="3" xr3:uid="{00000000-0010-0000-0000-000003000000}" name="% ODP(dari 365 Box)" dataDxfId="11">
      <calculatedColumnFormula>Table22[[#This Row],[TOTAL ODP]]/365</calculatedColumnFormula>
    </tableColumn>
    <tableColumn id="7" xr3:uid="{00000000-0010-0000-0000-000007000000}" name="TOTAL ODC" dataDxfId="10">
      <calculatedColumnFormula>SUM('Daily ODP &amp; ODC'!D5:D17)</calculatedColumnFormula>
    </tableColumn>
    <tableColumn id="6" xr3:uid="{00000000-0010-0000-0000-000006000000}" name="% ODC(dari 46 Box)" dataDxfId="9">
      <calculatedColumnFormula>#REF!/46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zoomScale="67" zoomScaleNormal="46" workbookViewId="0">
      <selection activeCell="I7" sqref="I7"/>
    </sheetView>
  </sheetViews>
  <sheetFormatPr defaultRowHeight="14.5" x14ac:dyDescent="0.35"/>
  <cols>
    <col min="2" max="2" width="14.54296875" customWidth="1"/>
    <col min="3" max="3" width="12.26953125" bestFit="1" customWidth="1"/>
    <col min="4" max="4" width="12.26953125" customWidth="1"/>
    <col min="5" max="6" width="13.26953125" customWidth="1"/>
    <col min="7" max="9" width="14.453125" customWidth="1"/>
    <col min="10" max="10" width="13.54296875" customWidth="1"/>
    <col min="11" max="12" width="17.453125" customWidth="1"/>
    <col min="13" max="14" width="15.81640625" customWidth="1"/>
    <col min="15" max="15" width="15.81640625" style="19" customWidth="1"/>
    <col min="16" max="16" width="15.81640625" customWidth="1"/>
    <col min="17" max="17" width="74" bestFit="1" customWidth="1"/>
  </cols>
  <sheetData>
    <row r="1" spans="1:17" ht="32.25" customHeight="1" x14ac:dyDescent="0.35">
      <c r="A1" s="36" t="s">
        <v>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56.25" customHeight="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4" spans="1:17" ht="54" customHeight="1" x14ac:dyDescent="0.35">
      <c r="A4" s="1" t="s">
        <v>0</v>
      </c>
      <c r="B4" s="1" t="s">
        <v>1</v>
      </c>
      <c r="C4" s="2" t="s">
        <v>4</v>
      </c>
      <c r="D4" s="2" t="s">
        <v>17</v>
      </c>
      <c r="E4" s="2" t="s">
        <v>3</v>
      </c>
      <c r="F4" s="2" t="s">
        <v>24</v>
      </c>
      <c r="G4" s="2" t="s">
        <v>2</v>
      </c>
      <c r="H4" s="2" t="s">
        <v>25</v>
      </c>
      <c r="I4" s="2" t="s">
        <v>26</v>
      </c>
      <c r="J4" s="2" t="s">
        <v>27</v>
      </c>
      <c r="K4" s="2" t="s">
        <v>18</v>
      </c>
      <c r="L4" s="2" t="s">
        <v>19</v>
      </c>
      <c r="M4" s="2" t="s">
        <v>20</v>
      </c>
      <c r="N4" s="2" t="s">
        <v>21</v>
      </c>
      <c r="O4" s="18" t="s">
        <v>22</v>
      </c>
      <c r="P4" s="2" t="s">
        <v>23</v>
      </c>
      <c r="Q4" s="1" t="s">
        <v>13</v>
      </c>
    </row>
    <row r="5" spans="1:17" x14ac:dyDescent="0.35">
      <c r="A5" s="13">
        <v>0</v>
      </c>
      <c r="B5" s="14">
        <v>46134</v>
      </c>
      <c r="C5" s="15"/>
      <c r="D5" s="15"/>
      <c r="E5" s="15"/>
      <c r="F5" s="15"/>
      <c r="G5" s="15"/>
      <c r="H5" s="15"/>
      <c r="I5" s="15"/>
      <c r="J5" s="15"/>
      <c r="K5" s="17">
        <f>SUM(C5:J5)</f>
        <v>0</v>
      </c>
      <c r="L5" s="17">
        <f>SUM(D5:K5)</f>
        <v>0</v>
      </c>
      <c r="M5" s="6">
        <f>K5</f>
        <v>0</v>
      </c>
      <c r="N5" s="6">
        <f>L5</f>
        <v>0</v>
      </c>
      <c r="O5" s="20">
        <f>K5/365</f>
        <v>0</v>
      </c>
      <c r="P5" s="7"/>
      <c r="Q5" s="7" t="s">
        <v>14</v>
      </c>
    </row>
    <row r="6" spans="1:17" x14ac:dyDescent="0.35">
      <c r="A6" s="6">
        <v>1</v>
      </c>
      <c r="B6" s="8">
        <v>46135</v>
      </c>
      <c r="C6" s="17">
        <v>8</v>
      </c>
      <c r="D6" s="17">
        <v>1</v>
      </c>
      <c r="E6" s="17">
        <v>8</v>
      </c>
      <c r="F6" s="17">
        <v>1</v>
      </c>
      <c r="G6" s="17">
        <v>8</v>
      </c>
      <c r="H6" s="17">
        <v>1</v>
      </c>
      <c r="I6" s="17">
        <v>5</v>
      </c>
      <c r="J6" s="17">
        <v>1</v>
      </c>
      <c r="K6" s="17">
        <f>SUM(C6,E6,G6,I6)</f>
        <v>29</v>
      </c>
      <c r="L6" s="17">
        <f>SUM(D6,F6,H6,J6)</f>
        <v>4</v>
      </c>
      <c r="M6" s="6">
        <f t="shared" ref="M6:N17" si="0">M5+K6</f>
        <v>29</v>
      </c>
      <c r="N6" s="6">
        <f t="shared" si="0"/>
        <v>4</v>
      </c>
      <c r="O6" s="20">
        <f t="shared" ref="O6:P17" si="1">K6/365</f>
        <v>7.9452054794520555E-2</v>
      </c>
      <c r="P6" s="20">
        <f t="shared" si="1"/>
        <v>1.0958904109589041E-2</v>
      </c>
      <c r="Q6" s="7" t="s">
        <v>16</v>
      </c>
    </row>
    <row r="7" spans="1:17" x14ac:dyDescent="0.35">
      <c r="A7" s="6">
        <v>2</v>
      </c>
      <c r="B7" s="8">
        <v>46136</v>
      </c>
      <c r="C7" s="7"/>
      <c r="D7" s="7"/>
      <c r="E7" s="7"/>
      <c r="F7" s="7"/>
      <c r="G7" s="7"/>
      <c r="H7" s="7"/>
      <c r="I7" s="7"/>
      <c r="J7" s="7"/>
      <c r="K7" s="17">
        <f t="shared" ref="K7:K17" si="2">SUM(C7:J7)</f>
        <v>0</v>
      </c>
      <c r="L7" s="17">
        <f t="shared" ref="L7:L17" si="3">SUM(D7,F7,H7,J7)</f>
        <v>0</v>
      </c>
      <c r="M7" s="6">
        <f t="shared" si="0"/>
        <v>29</v>
      </c>
      <c r="N7" s="6">
        <f t="shared" si="0"/>
        <v>4</v>
      </c>
      <c r="O7" s="20">
        <f t="shared" si="1"/>
        <v>0</v>
      </c>
      <c r="P7" s="7"/>
      <c r="Q7" s="7"/>
    </row>
    <row r="8" spans="1:17" x14ac:dyDescent="0.35">
      <c r="A8" s="6">
        <v>3</v>
      </c>
      <c r="B8" s="8">
        <v>46137</v>
      </c>
      <c r="C8" s="7"/>
      <c r="D8" s="7"/>
      <c r="E8" s="7"/>
      <c r="F8" s="7"/>
      <c r="G8" s="7"/>
      <c r="H8" s="7"/>
      <c r="I8" s="7"/>
      <c r="J8" s="7"/>
      <c r="K8" s="17">
        <f t="shared" si="2"/>
        <v>0</v>
      </c>
      <c r="L8" s="17">
        <f t="shared" si="3"/>
        <v>0</v>
      </c>
      <c r="M8" s="6">
        <f t="shared" si="0"/>
        <v>29</v>
      </c>
      <c r="N8" s="6">
        <f t="shared" si="0"/>
        <v>4</v>
      </c>
      <c r="O8" s="20">
        <f>K8/365</f>
        <v>0</v>
      </c>
      <c r="P8" s="7"/>
      <c r="Q8" s="7"/>
    </row>
    <row r="9" spans="1:17" x14ac:dyDescent="0.35">
      <c r="A9" s="6">
        <v>4</v>
      </c>
      <c r="B9" s="8">
        <v>46138</v>
      </c>
      <c r="C9" s="7"/>
      <c r="D9" s="7"/>
      <c r="E9" s="7"/>
      <c r="F9" s="7"/>
      <c r="G9" s="7"/>
      <c r="H9" s="7"/>
      <c r="I9" s="7"/>
      <c r="J9" s="7"/>
      <c r="K9" s="17">
        <f t="shared" si="2"/>
        <v>0</v>
      </c>
      <c r="L9" s="17">
        <f t="shared" si="3"/>
        <v>0</v>
      </c>
      <c r="M9" s="6">
        <f t="shared" si="0"/>
        <v>29</v>
      </c>
      <c r="N9" s="6">
        <f t="shared" si="0"/>
        <v>4</v>
      </c>
      <c r="O9" s="20">
        <f t="shared" si="1"/>
        <v>0</v>
      </c>
      <c r="P9" s="7"/>
      <c r="Q9" s="7"/>
    </row>
    <row r="10" spans="1:17" x14ac:dyDescent="0.35">
      <c r="A10" s="6">
        <v>5</v>
      </c>
      <c r="B10" s="8">
        <v>46139</v>
      </c>
      <c r="C10" s="7"/>
      <c r="D10" s="7"/>
      <c r="E10" s="7"/>
      <c r="F10" s="7"/>
      <c r="G10" s="7"/>
      <c r="H10" s="7"/>
      <c r="I10" s="7"/>
      <c r="J10" s="7"/>
      <c r="K10" s="17">
        <f t="shared" si="2"/>
        <v>0</v>
      </c>
      <c r="L10" s="17">
        <f t="shared" si="3"/>
        <v>0</v>
      </c>
      <c r="M10" s="6">
        <f t="shared" si="0"/>
        <v>29</v>
      </c>
      <c r="N10" s="6">
        <f t="shared" si="0"/>
        <v>4</v>
      </c>
      <c r="O10" s="20">
        <f t="shared" si="1"/>
        <v>0</v>
      </c>
      <c r="P10" s="7"/>
      <c r="Q10" s="7"/>
    </row>
    <row r="11" spans="1:17" x14ac:dyDescent="0.35">
      <c r="A11" s="6">
        <v>6</v>
      </c>
      <c r="B11" s="8">
        <v>46140</v>
      </c>
      <c r="C11" s="7"/>
      <c r="D11" s="7"/>
      <c r="E11" s="7"/>
      <c r="F11" s="7"/>
      <c r="G11" s="7"/>
      <c r="H11" s="7"/>
      <c r="I11" s="7"/>
      <c r="J11" s="7"/>
      <c r="K11" s="17">
        <f t="shared" si="2"/>
        <v>0</v>
      </c>
      <c r="L11" s="17">
        <f t="shared" si="3"/>
        <v>0</v>
      </c>
      <c r="M11" s="6">
        <f t="shared" si="0"/>
        <v>29</v>
      </c>
      <c r="N11" s="6">
        <f t="shared" si="0"/>
        <v>4</v>
      </c>
      <c r="O11" s="20">
        <f t="shared" si="1"/>
        <v>0</v>
      </c>
      <c r="P11" s="7"/>
      <c r="Q11" s="7"/>
    </row>
    <row r="12" spans="1:17" x14ac:dyDescent="0.35">
      <c r="A12" s="6">
        <v>7</v>
      </c>
      <c r="B12" s="8">
        <v>46141</v>
      </c>
      <c r="C12" s="7"/>
      <c r="D12" s="7"/>
      <c r="E12" s="7"/>
      <c r="F12" s="7"/>
      <c r="G12" s="7"/>
      <c r="H12" s="7"/>
      <c r="I12" s="7"/>
      <c r="J12" s="7"/>
      <c r="K12" s="17">
        <f t="shared" si="2"/>
        <v>0</v>
      </c>
      <c r="L12" s="17">
        <f t="shared" si="3"/>
        <v>0</v>
      </c>
      <c r="M12" s="6">
        <f t="shared" si="0"/>
        <v>29</v>
      </c>
      <c r="N12" s="6">
        <f t="shared" si="0"/>
        <v>4</v>
      </c>
      <c r="O12" s="20">
        <f t="shared" si="1"/>
        <v>0</v>
      </c>
      <c r="P12" s="7"/>
      <c r="Q12" s="7"/>
    </row>
    <row r="13" spans="1:17" x14ac:dyDescent="0.35">
      <c r="A13" s="6">
        <v>8</v>
      </c>
      <c r="B13" s="8">
        <v>46142</v>
      </c>
      <c r="C13" s="7"/>
      <c r="D13" s="7"/>
      <c r="E13" s="7"/>
      <c r="F13" s="7"/>
      <c r="G13" s="7"/>
      <c r="H13" s="7"/>
      <c r="I13" s="7"/>
      <c r="J13" s="7"/>
      <c r="K13" s="17">
        <f t="shared" si="2"/>
        <v>0</v>
      </c>
      <c r="L13" s="17">
        <f t="shared" si="3"/>
        <v>0</v>
      </c>
      <c r="M13" s="6">
        <f t="shared" si="0"/>
        <v>29</v>
      </c>
      <c r="N13" s="6">
        <f t="shared" si="0"/>
        <v>4</v>
      </c>
      <c r="O13" s="20">
        <f t="shared" si="1"/>
        <v>0</v>
      </c>
      <c r="P13" s="7"/>
      <c r="Q13" s="7"/>
    </row>
    <row r="14" spans="1:17" x14ac:dyDescent="0.35">
      <c r="A14" s="6">
        <v>9</v>
      </c>
      <c r="B14" s="8">
        <v>46143</v>
      </c>
      <c r="C14" s="7"/>
      <c r="D14" s="7"/>
      <c r="E14" s="7"/>
      <c r="F14" s="7"/>
      <c r="G14" s="7"/>
      <c r="H14" s="7"/>
      <c r="I14" s="7"/>
      <c r="J14" s="7"/>
      <c r="K14" s="17">
        <f t="shared" si="2"/>
        <v>0</v>
      </c>
      <c r="L14" s="17">
        <f t="shared" si="3"/>
        <v>0</v>
      </c>
      <c r="M14" s="6">
        <f t="shared" si="0"/>
        <v>29</v>
      </c>
      <c r="N14" s="6">
        <f t="shared" si="0"/>
        <v>4</v>
      </c>
      <c r="O14" s="20">
        <f t="shared" si="1"/>
        <v>0</v>
      </c>
      <c r="P14" s="7"/>
      <c r="Q14" s="7"/>
    </row>
    <row r="15" spans="1:17" x14ac:dyDescent="0.35">
      <c r="A15" s="6">
        <v>10</v>
      </c>
      <c r="B15" s="8">
        <v>46144</v>
      </c>
      <c r="C15" s="7"/>
      <c r="D15" s="7"/>
      <c r="E15" s="7"/>
      <c r="F15" s="7"/>
      <c r="G15" s="7"/>
      <c r="H15" s="7"/>
      <c r="I15" s="7"/>
      <c r="J15" s="7"/>
      <c r="K15" s="17">
        <f t="shared" si="2"/>
        <v>0</v>
      </c>
      <c r="L15" s="17">
        <f t="shared" si="3"/>
        <v>0</v>
      </c>
      <c r="M15" s="6">
        <f t="shared" si="0"/>
        <v>29</v>
      </c>
      <c r="N15" s="6">
        <f t="shared" si="0"/>
        <v>4</v>
      </c>
      <c r="O15" s="20">
        <f t="shared" si="1"/>
        <v>0</v>
      </c>
      <c r="P15" s="7"/>
      <c r="Q15" s="7"/>
    </row>
    <row r="16" spans="1:17" x14ac:dyDescent="0.35">
      <c r="A16" s="6">
        <v>11</v>
      </c>
      <c r="B16" s="10">
        <v>46145</v>
      </c>
      <c r="C16" s="11"/>
      <c r="D16" s="11"/>
      <c r="E16" s="11"/>
      <c r="F16" s="11"/>
      <c r="G16" s="11"/>
      <c r="H16" s="11"/>
      <c r="I16" s="11"/>
      <c r="J16" s="11"/>
      <c r="K16" s="17">
        <f t="shared" si="2"/>
        <v>0</v>
      </c>
      <c r="L16" s="17">
        <f t="shared" si="3"/>
        <v>0</v>
      </c>
      <c r="M16" s="6">
        <f t="shared" si="0"/>
        <v>29</v>
      </c>
      <c r="N16" s="6">
        <f t="shared" si="0"/>
        <v>4</v>
      </c>
      <c r="O16" s="20">
        <f t="shared" si="1"/>
        <v>0</v>
      </c>
      <c r="P16" s="11"/>
      <c r="Q16" s="7"/>
    </row>
    <row r="17" spans="1:18" x14ac:dyDescent="0.35">
      <c r="A17" s="6">
        <v>12</v>
      </c>
      <c r="B17" s="8">
        <v>46146</v>
      </c>
      <c r="C17" s="7"/>
      <c r="D17" s="7"/>
      <c r="E17" s="7"/>
      <c r="F17" s="7"/>
      <c r="G17" s="7"/>
      <c r="H17" s="7"/>
      <c r="I17" s="7"/>
      <c r="J17" s="7"/>
      <c r="K17" s="17">
        <f t="shared" si="2"/>
        <v>0</v>
      </c>
      <c r="L17" s="17">
        <f t="shared" si="3"/>
        <v>0</v>
      </c>
      <c r="M17" s="6">
        <f t="shared" si="0"/>
        <v>29</v>
      </c>
      <c r="N17" s="6">
        <f t="shared" si="0"/>
        <v>4</v>
      </c>
      <c r="O17" s="20">
        <f t="shared" si="1"/>
        <v>0</v>
      </c>
      <c r="P17" s="11"/>
      <c r="Q17" s="7"/>
    </row>
    <row r="19" spans="1:18" ht="18.5" x14ac:dyDescent="0.45">
      <c r="A19" s="12" t="s">
        <v>9</v>
      </c>
    </row>
    <row r="20" spans="1:18" ht="18.5" x14ac:dyDescent="0.45">
      <c r="A20" s="12" t="s">
        <v>10</v>
      </c>
      <c r="E20" t="s">
        <v>8</v>
      </c>
      <c r="R20" t="s">
        <v>8</v>
      </c>
    </row>
    <row r="21" spans="1:18" ht="18.5" x14ac:dyDescent="0.45">
      <c r="A21" s="12" t="s">
        <v>11</v>
      </c>
    </row>
    <row r="22" spans="1:18" ht="18.5" x14ac:dyDescent="0.45">
      <c r="A22" s="12" t="s">
        <v>12</v>
      </c>
    </row>
  </sheetData>
  <mergeCells count="1">
    <mergeCell ref="A1:Q2"/>
  </mergeCells>
  <conditionalFormatting sqref="K5:L5">
    <cfRule type="cellIs" dxfId="8" priority="7" operator="lessThan">
      <formula>32</formula>
    </cfRule>
    <cfRule type="cellIs" dxfId="7" priority="8" operator="lessThan">
      <formula>32</formula>
    </cfRule>
    <cfRule type="expression" dxfId="6" priority="9">
      <formula>$K$5&lt;32</formula>
    </cfRule>
    <cfRule type="expression" dxfId="5" priority="10">
      <formula>$K$5=32</formula>
    </cfRule>
  </conditionalFormatting>
  <conditionalFormatting sqref="K5:L17">
    <cfRule type="cellIs" dxfId="4" priority="3" operator="lessThan">
      <formula>32</formula>
    </cfRule>
  </conditionalFormatting>
  <conditionalFormatting sqref="K6:L17">
    <cfRule type="cellIs" dxfId="3" priority="1" operator="lessThan">
      <formula>32</formula>
    </cfRule>
    <cfRule type="cellIs" dxfId="2" priority="2" operator="lessThan">
      <formula>32</formula>
    </cfRule>
    <cfRule type="expression" dxfId="1" priority="4">
      <formula>$K$5&lt;32</formula>
    </cfRule>
    <cfRule type="expression" dxfId="0" priority="5">
      <formula>$K$5=32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abSelected="1" zoomScale="70" zoomScaleNormal="70" zoomScaleSheetLayoutView="83" workbookViewId="0">
      <selection activeCell="G3" sqref="G3"/>
    </sheetView>
  </sheetViews>
  <sheetFormatPr defaultRowHeight="14.5" x14ac:dyDescent="0.35"/>
  <cols>
    <col min="1" max="1" width="17.7265625" customWidth="1"/>
    <col min="2" max="2" width="32.1796875" style="3" customWidth="1"/>
    <col min="3" max="4" width="43.81640625" customWidth="1"/>
    <col min="5" max="5" width="41" customWidth="1"/>
    <col min="6" max="6" width="11.90625" customWidth="1"/>
  </cols>
  <sheetData>
    <row r="1" spans="1:5" ht="32.25" customHeight="1" x14ac:dyDescent="0.35">
      <c r="A1" s="35" t="s">
        <v>31</v>
      </c>
      <c r="B1" s="35"/>
      <c r="C1" s="35"/>
      <c r="D1" s="35"/>
      <c r="E1" s="35"/>
    </row>
    <row r="2" spans="1:5" ht="56.25" customHeight="1" x14ac:dyDescent="0.35">
      <c r="A2" s="35"/>
      <c r="B2" s="35"/>
      <c r="C2" s="35"/>
      <c r="D2" s="35"/>
      <c r="E2" s="35"/>
    </row>
    <row r="3" spans="1:5" ht="21" x14ac:dyDescent="0.5">
      <c r="E3" s="34">
        <f ca="1">TODAY()</f>
        <v>46136</v>
      </c>
    </row>
    <row r="4" spans="1:5" ht="39" customHeight="1" x14ac:dyDescent="0.35">
      <c r="A4" s="31" t="s">
        <v>6</v>
      </c>
      <c r="B4" s="32" t="s">
        <v>7</v>
      </c>
      <c r="C4" s="33" t="s">
        <v>28</v>
      </c>
      <c r="D4" s="33" t="s">
        <v>29</v>
      </c>
      <c r="E4" s="33" t="s">
        <v>30</v>
      </c>
    </row>
    <row r="5" spans="1:5" ht="21" x14ac:dyDescent="0.5">
      <c r="A5" s="30">
        <v>1</v>
      </c>
      <c r="B5" s="5">
        <f>SUM('Daily ODP &amp; ODC'!C5:C17)</f>
        <v>8</v>
      </c>
      <c r="C5" s="4">
        <f>Table22[[#This Row],[TOTAL ODP]]/365</f>
        <v>2.1917808219178082E-2</v>
      </c>
      <c r="D5" s="23">
        <f>SUM('Daily ODP &amp; ODC'!$D$5:$D$17)</f>
        <v>1</v>
      </c>
      <c r="E5" s="4">
        <f>Table22[[#This Row],[TOTAL ODC]]/46</f>
        <v>2.1739130434782608E-2</v>
      </c>
    </row>
    <row r="6" spans="1:5" ht="21" x14ac:dyDescent="0.5">
      <c r="A6" s="30">
        <v>2</v>
      </c>
      <c r="B6" s="5">
        <f>SUM('Daily ODP &amp; ODC'!E5:E17)</f>
        <v>8</v>
      </c>
      <c r="C6" s="4">
        <f>Table22[[#This Row],[TOTAL ODP]]/365</f>
        <v>2.1917808219178082E-2</v>
      </c>
      <c r="D6" s="23">
        <f>SUM('Daily ODP &amp; ODC'!$F$5:$F$17)</f>
        <v>1</v>
      </c>
      <c r="E6" s="4">
        <f>Table22[[#This Row],[TOTAL ODC]]/46</f>
        <v>2.1739130434782608E-2</v>
      </c>
    </row>
    <row r="7" spans="1:5" ht="21" x14ac:dyDescent="0.5">
      <c r="A7" s="30">
        <v>3</v>
      </c>
      <c r="B7" s="5">
        <f>SUM('Daily ODP &amp; ODC'!G5:G17)</f>
        <v>8</v>
      </c>
      <c r="C7" s="4">
        <f>Table22[[#This Row],[TOTAL ODP]]/365</f>
        <v>2.1917808219178082E-2</v>
      </c>
      <c r="D7" s="23">
        <f>SUM('Daily ODP &amp; ODC'!$H$5:$H$17)</f>
        <v>1</v>
      </c>
      <c r="E7" s="4">
        <f>Table22[[#This Row],[TOTAL ODC]]/46</f>
        <v>2.1739130434782608E-2</v>
      </c>
    </row>
    <row r="8" spans="1:5" ht="21" x14ac:dyDescent="0.5">
      <c r="A8" s="30">
        <v>4</v>
      </c>
      <c r="B8" s="5">
        <f>SUM('Daily ODP &amp; ODC'!I5:I17)</f>
        <v>5</v>
      </c>
      <c r="C8" s="4">
        <f>Table22[[#This Row],[TOTAL ODP]]/365</f>
        <v>1.3698630136986301E-2</v>
      </c>
      <c r="D8" s="23">
        <f>SUM('Daily ODP &amp; ODC'!$J$5:$J$17)</f>
        <v>1</v>
      </c>
      <c r="E8" s="4">
        <f>Table22[[#This Row],[TOTAL ODC]]/46</f>
        <v>2.1739130434782608E-2</v>
      </c>
    </row>
    <row r="9" spans="1:5" ht="18.5" x14ac:dyDescent="0.45">
      <c r="A9" s="21" t="s">
        <v>32</v>
      </c>
      <c r="B9" s="5">
        <f>SUM(B5:B8)</f>
        <v>29</v>
      </c>
      <c r="C9" s="4">
        <f>Table22[[#This Row],[TOTAL ODP]]/365</f>
        <v>7.9452054794520555E-2</v>
      </c>
      <c r="D9" s="23">
        <f>SUM(D5:D8)</f>
        <v>4</v>
      </c>
      <c r="E9" s="22">
        <f>Table22[[#This Row],[TOTAL ODC]]/46</f>
        <v>8.6956521739130432E-2</v>
      </c>
    </row>
    <row r="11" spans="1:5" ht="63" x14ac:dyDescent="0.35">
      <c r="A11" s="24" t="s">
        <v>33</v>
      </c>
      <c r="B11" s="24" t="s">
        <v>34</v>
      </c>
      <c r="C11" s="27" t="s">
        <v>35</v>
      </c>
      <c r="D11" s="26" t="s">
        <v>15</v>
      </c>
      <c r="E11" s="16"/>
    </row>
    <row r="12" spans="1:5" ht="42" customHeight="1" x14ac:dyDescent="0.35">
      <c r="A12" s="25">
        <v>411</v>
      </c>
      <c r="B12" s="29">
        <f>SUM(B9,D9)</f>
        <v>33</v>
      </c>
      <c r="C12" s="28">
        <f>B12/$A$12</f>
        <v>8.0291970802919707E-2</v>
      </c>
      <c r="D12" s="29">
        <f ca="1">'Daily ODP &amp; ODC'!B17-TODAY()</f>
        <v>10</v>
      </c>
      <c r="E12" s="9"/>
    </row>
    <row r="14" spans="1:5" x14ac:dyDescent="0.35">
      <c r="C14" s="37"/>
    </row>
    <row r="15" spans="1:5" x14ac:dyDescent="0.35">
      <c r="C15" s="37"/>
    </row>
    <row r="16" spans="1:5" x14ac:dyDescent="0.35">
      <c r="C16" s="37"/>
    </row>
    <row r="17" spans="3:3" x14ac:dyDescent="0.35">
      <c r="C17" s="37"/>
    </row>
    <row r="18" spans="3:3" x14ac:dyDescent="0.35">
      <c r="C18" s="37"/>
    </row>
    <row r="19" spans="3:3" x14ac:dyDescent="0.35">
      <c r="C19" s="37"/>
    </row>
    <row r="20" spans="3:3" x14ac:dyDescent="0.35">
      <c r="C20" s="37"/>
    </row>
    <row r="21" spans="3:3" x14ac:dyDescent="0.35">
      <c r="C21" s="37"/>
    </row>
    <row r="22" spans="3:3" x14ac:dyDescent="0.35">
      <c r="C22" s="37"/>
    </row>
    <row r="23" spans="3:3" x14ac:dyDescent="0.35">
      <c r="C23" s="37"/>
    </row>
    <row r="24" spans="3:3" x14ac:dyDescent="0.35">
      <c r="C24" s="37"/>
    </row>
    <row r="25" spans="3:3" x14ac:dyDescent="0.35">
      <c r="C25" s="37"/>
    </row>
    <row r="26" spans="3:3" x14ac:dyDescent="0.35">
      <c r="C26" s="37"/>
    </row>
    <row r="27" spans="3:3" x14ac:dyDescent="0.35">
      <c r="C27" s="37"/>
    </row>
    <row r="28" spans="3:3" x14ac:dyDescent="0.35">
      <c r="C28" s="37"/>
    </row>
  </sheetData>
  <mergeCells count="1">
    <mergeCell ref="A1:E2"/>
  </mergeCells>
  <pageMargins left="0.7" right="0.7" top="0.75" bottom="0.75" header="0.3" footer="0.3"/>
  <pageSetup paperSize="9" scale="47" orientation="portrait" r:id="rId1"/>
  <colBreaks count="1" manualBreakCount="1">
    <brk id="6" max="48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Daily ODP &amp; ODC</vt:lpstr>
      <vt:lpstr>Rekap ODP &amp; ODC</vt:lpstr>
      <vt:lpstr>'Rekap ODP &amp; ODC'!Print_Area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FAMCEMARA</dc:creator>
  <cp:lastModifiedBy>Adhimas Adhimas</cp:lastModifiedBy>
  <dcterms:created xsi:type="dcterms:W3CDTF">2026-04-22T22:45:51Z</dcterms:created>
  <dcterms:modified xsi:type="dcterms:W3CDTF">2026-04-24T02:18:42Z</dcterms:modified>
</cp:coreProperties>
</file>